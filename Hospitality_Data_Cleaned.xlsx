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 Advanced Spreadsheet S" sheetId="1" r:id="rId5"/>
  </sheets>
  <definedNames/>
  <calcPr/>
</workbook>
</file>

<file path=xl/sharedStrings.xml><?xml version="1.0" encoding="utf-8"?>
<sst xmlns="http://schemas.openxmlformats.org/spreadsheetml/2006/main" count="28" uniqueCount="22">
  <si>
    <t>Booking_ID</t>
  </si>
  <si>
    <t>Guest_Name</t>
  </si>
  <si>
    <t>CheckIn_Date</t>
  </si>
  <si>
    <t>Room_Type</t>
  </si>
  <si>
    <t>Rate_Paid</t>
  </si>
  <si>
    <t>Status</t>
  </si>
  <si>
    <t>First_Name</t>
  </si>
  <si>
    <t>Last_Name</t>
  </si>
  <si>
    <t>CheckIn_Day</t>
  </si>
  <si>
    <t>Revenue_Tier</t>
  </si>
  <si>
    <t>Melvin Sutton</t>
  </si>
  <si>
    <t>KING</t>
  </si>
  <si>
    <t>Confirmed</t>
  </si>
  <si>
    <t>Sarah Jones</t>
  </si>
  <si>
    <t>Alice Nwosu</t>
  </si>
  <si>
    <t>Deluxe Suite</t>
  </si>
  <si>
    <t>Cancelled</t>
  </si>
  <si>
    <t>Bob Dylan</t>
  </si>
  <si>
    <t>Stayed</t>
  </si>
  <si>
    <t>Chidi Okafor</t>
  </si>
  <si>
    <t>DELUXE</t>
  </si>
  <si>
    <t>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</si>
</sst>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101.0</v>
      </c>
      <c r="B2" s="2" t="s">
        <v>10</v>
      </c>
      <c r="C2" s="3">
        <v>46154.0</v>
      </c>
      <c r="D2" s="2" t="s">
        <v>11</v>
      </c>
      <c r="E2" s="2">
        <v>250.0</v>
      </c>
      <c r="F2" s="2" t="s">
        <v>12</v>
      </c>
      <c r="G2" s="4" t="str">
        <f t="shared" ref="G2:G7" si="1">LEFT(B2, FIND(" ", B2) - 1)</f>
        <v>Melvin</v>
      </c>
      <c r="H2" s="4" t="str">
        <f t="shared" ref="H2:H7" si="2">RIGHT(B2, LEN(B2) - FIND(" ", B2))</f>
        <v>Sutton</v>
      </c>
      <c r="I2" s="4" t="str">
        <f t="shared" ref="I2:I7" si="3">TEXT(C2, "dddd")</f>
        <v>Tuesday</v>
      </c>
      <c r="J2" s="4" t="str">
        <f t="shared" ref="J2:J7" si="4">IF(E2 &gt; 300, "Premium", "Standard")</f>
        <v>Standard</v>
      </c>
    </row>
    <row r="3">
      <c r="A3" s="2">
        <v>102.0</v>
      </c>
      <c r="B3" s="2" t="s">
        <v>13</v>
      </c>
      <c r="C3" s="3">
        <v>46154.0</v>
      </c>
      <c r="D3" s="2" t="s">
        <v>11</v>
      </c>
      <c r="E3" s="2">
        <v>250.0</v>
      </c>
      <c r="F3" s="2" t="s">
        <v>12</v>
      </c>
      <c r="G3" s="4" t="str">
        <f t="shared" si="1"/>
        <v>Sarah</v>
      </c>
      <c r="H3" s="4" t="str">
        <f t="shared" si="2"/>
        <v>Jones</v>
      </c>
      <c r="I3" s="4" t="str">
        <f t="shared" si="3"/>
        <v>Tuesday</v>
      </c>
      <c r="J3" s="4" t="str">
        <f t="shared" si="4"/>
        <v>Standard</v>
      </c>
    </row>
    <row r="4">
      <c r="A4" s="2">
        <v>104.0</v>
      </c>
      <c r="B4" s="2" t="s">
        <v>14</v>
      </c>
      <c r="C4" s="3">
        <v>46155.0</v>
      </c>
      <c r="D4" s="2" t="s">
        <v>15</v>
      </c>
      <c r="E4" s="2">
        <v>320.5</v>
      </c>
      <c r="F4" s="2" t="s">
        <v>16</v>
      </c>
      <c r="G4" s="4" t="str">
        <f t="shared" si="1"/>
        <v>Alice</v>
      </c>
      <c r="H4" s="4" t="str">
        <f t="shared" si="2"/>
        <v>Nwosu</v>
      </c>
      <c r="I4" s="4" t="str">
        <f t="shared" si="3"/>
        <v>Wednesday</v>
      </c>
      <c r="J4" s="4" t="str">
        <f t="shared" si="4"/>
        <v>Premium</v>
      </c>
    </row>
    <row r="5">
      <c r="A5" s="2">
        <v>105.0</v>
      </c>
      <c r="B5" s="2" t="s">
        <v>17</v>
      </c>
      <c r="C5" s="3">
        <v>46156.0</v>
      </c>
      <c r="D5" s="2" t="s">
        <v>11</v>
      </c>
      <c r="E5" s="2">
        <v>0.0</v>
      </c>
      <c r="F5" s="2" t="s">
        <v>18</v>
      </c>
      <c r="G5" s="4" t="str">
        <f t="shared" si="1"/>
        <v>Bob</v>
      </c>
      <c r="H5" s="4" t="str">
        <f t="shared" si="2"/>
        <v>Dylan</v>
      </c>
      <c r="I5" s="4" t="str">
        <f t="shared" si="3"/>
        <v>Thursday</v>
      </c>
      <c r="J5" s="4" t="str">
        <f t="shared" si="4"/>
        <v>Standard</v>
      </c>
    </row>
    <row r="6">
      <c r="A6" s="2">
        <v>106.0</v>
      </c>
      <c r="B6" s="2" t="s">
        <v>19</v>
      </c>
      <c r="C6" s="3">
        <v>46157.0</v>
      </c>
      <c r="D6" s="2" t="s">
        <v>20</v>
      </c>
      <c r="E6" s="2">
        <v>320.5</v>
      </c>
      <c r="F6" s="2" t="s">
        <v>12</v>
      </c>
      <c r="G6" s="4" t="str">
        <f t="shared" si="1"/>
        <v>Chidi</v>
      </c>
      <c r="H6" s="4" t="str">
        <f t="shared" si="2"/>
        <v>Okafor</v>
      </c>
      <c r="I6" s="4" t="str">
        <f t="shared" si="3"/>
        <v>Friday</v>
      </c>
      <c r="J6" s="4" t="str">
        <f t="shared" si="4"/>
        <v>Premium</v>
      </c>
    </row>
    <row r="7">
      <c r="A7" s="2">
        <v>107.0</v>
      </c>
      <c r="B7" s="2" t="s">
        <v>14</v>
      </c>
      <c r="C7" s="3">
        <v>46155.0</v>
      </c>
      <c r="D7" s="2" t="s">
        <v>21</v>
      </c>
      <c r="E7" s="2">
        <v>320.5</v>
      </c>
      <c r="F7" s="2" t="s">
        <v>16</v>
      </c>
      <c r="G7" s="4" t="str">
        <f t="shared" si="1"/>
        <v>Alice</v>
      </c>
      <c r="H7" s="4" t="str">
        <f t="shared" si="2"/>
        <v>Nwosu</v>
      </c>
      <c r="I7" s="4" t="str">
        <f t="shared" si="3"/>
        <v>Wednesday</v>
      </c>
      <c r="J7" s="4" t="str">
        <f t="shared" si="4"/>
        <v>Premium</v>
      </c>
    </row>
  </sheetData>
  <drawing r:id="rId1"/>
</worksheet>
</file>